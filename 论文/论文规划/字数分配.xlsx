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lec\论文\论文规划\"/>
    </mc:Choice>
  </mc:AlternateContent>
  <xr:revisionPtr revIDLastSave="0" documentId="13_ncr:1_{E1B6B12E-323B-47C3-9A46-C3578432128C}" xr6:coauthVersionLast="47" xr6:coauthVersionMax="47" xr10:uidLastSave="{00000000-0000-0000-0000-000000000000}"/>
  <bookViews>
    <workbookView xWindow="2295" yWindow="2295" windowWidth="28800" windowHeight="15345" xr2:uid="{00000000-000D-0000-FFFF-FFFF00000000}"/>
  </bookViews>
  <sheets>
    <sheet name="目录字数分配" sheetId="1" r:id="rId1"/>
    <sheet name="章节结构说明" sheetId="2" r:id="rId2"/>
    <sheet name="中文文献结构参考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F35" i="1" s="1"/>
  <c r="G35" i="1" s="1"/>
  <c r="G4" i="1" l="1"/>
</calcChain>
</file>

<file path=xl/sharedStrings.xml><?xml version="1.0" encoding="utf-8"?>
<sst xmlns="http://schemas.openxmlformats.org/spreadsheetml/2006/main" count="236" uniqueCount="185">
  <si>
    <t>章序号</t>
  </si>
  <si>
    <t>章名</t>
  </si>
  <si>
    <t>节序号</t>
  </si>
  <si>
    <t>节名</t>
  </si>
  <si>
    <t>建议字数</t>
  </si>
  <si>
    <t>章合计</t>
  </si>
  <si>
    <t>章占比</t>
  </si>
  <si>
    <t>写作提示</t>
  </si>
  <si>
    <t>第一章</t>
  </si>
  <si>
    <t>绪论</t>
  </si>
  <si>
    <t>1.1</t>
  </si>
  <si>
    <t>研究背景与问题提出</t>
  </si>
  <si>
    <t>结合电力市场化改革、现货市场推进和售电公司风险管理需求，提出本文的研究问题。</t>
  </si>
  <si>
    <t>1.2</t>
  </si>
  <si>
    <t>研究意义与研究对象界定</t>
  </si>
  <si>
    <t>说明研究在理论讨论和售电公司经营决策中的具体意义，明确研究对象、市场边界和时间尺度。</t>
  </si>
  <si>
    <t>1.3</t>
  </si>
  <si>
    <t>国内外研究现状与评述</t>
  </si>
  <si>
    <t>围绕售电公司购售电决策、风险度量、电力市场交易机制和智能优化算法进行归纳评述。</t>
  </si>
  <si>
    <t>1.4</t>
  </si>
  <si>
    <t>研究内容、研究方法与技术路线</t>
  </si>
  <si>
    <t>交代全文安排、方法组合和主要工作，避免写成项目开发说明。</t>
  </si>
  <si>
    <t>第二章</t>
  </si>
  <si>
    <t>理论基础与市场机制分析</t>
  </si>
  <si>
    <t>2.1</t>
  </si>
  <si>
    <t>售电公司购售电业务与风险类型</t>
  </si>
  <si>
    <t>从中长期合约、现货交易、负荷偏差和价格波动等角度界定风险来源。</t>
  </si>
  <si>
    <t>2.2</t>
  </si>
  <si>
    <t>中长期交易、现货市场与零售侧衔接机制</t>
  </si>
  <si>
    <t>说明不同交易环节之间的关系，为后续多时间尺度决策模型提供制度背景。</t>
  </si>
  <si>
    <t>2.3</t>
  </si>
  <si>
    <t>湖南电力市场运行规则及政策环境</t>
  </si>
  <si>
    <t>围绕研究期内市场规则、价格联动和辅助服务等制度因素展开，不混用不同时期政策。</t>
  </si>
  <si>
    <t>2.4</t>
  </si>
  <si>
    <t>政策约束向制度状态和可行域的转化逻辑</t>
  </si>
  <si>
    <t>解释政策信息如何转化为模型中的约束边界、状态变量和结算语义。</t>
  </si>
  <si>
    <t>2.5</t>
  </si>
  <si>
    <t>风险度量、套期保值与基准策略理论基础</t>
  </si>
  <si>
    <t>引入超额收益、尾部风险、套保误差和基准比较等概念。</t>
  </si>
  <si>
    <t>第三章</t>
  </si>
  <si>
    <t>售电公司多时间尺度购售电决策模型构建</t>
  </si>
  <si>
    <t>3.1</t>
  </si>
  <si>
    <t>问题描述与基本假设</t>
  </si>
  <si>
    <t>明确售电公司在周度、小时级和15分钟结算层面的决策问题及必要假设。</t>
  </si>
  <si>
    <t>3.2</t>
  </si>
  <si>
    <t>状态变量、决策变量与约束条件</t>
  </si>
  <si>
    <t>系统列出市场状态、政策状态、上层动作、下层动作以及可执行边界。</t>
  </si>
  <si>
    <t>3.3</t>
  </si>
  <si>
    <t>周度中长期底仓决策模型</t>
  </si>
  <si>
    <t>构建中长期合约底仓、合约调整量和敞口带宽的数学表达。</t>
  </si>
  <si>
    <t>3.4</t>
  </si>
  <si>
    <t>小时级现货边际修正模型</t>
  </si>
  <si>
    <t>刻画价差、负荷偏差、新能源偏差等信号对小时级现货修正的影响。</t>
  </si>
  <si>
    <t>3.5</t>
  </si>
  <si>
    <t>15分钟代理结算与收益风险评价模型</t>
  </si>
  <si>
    <t>说明计划电量、实际需求、采购成本、零售收入、利润和尾部风险的计算口径。</t>
  </si>
  <si>
    <t>3.6</t>
  </si>
  <si>
    <t>目标函数与综合评价指标</t>
  </si>
  <si>
    <t>形成以超额收益、风险惩罚、套保误差和约束惩罚为核心的目标函数。</t>
  </si>
  <si>
    <t>第四章</t>
  </si>
  <si>
    <t>模型求解与实验设计</t>
  </si>
  <si>
    <t>4.1</t>
  </si>
  <si>
    <t>数据来源、样本处理与特征构造</t>
  </si>
  <si>
    <t>说明原始数据、样本区间、频率处理、周度和小时级特征构造。</t>
  </si>
  <si>
    <t>4.2</t>
  </si>
  <si>
    <t>政策规则整理与可行域生成流程</t>
  </si>
  <si>
    <t>写成研究方法和实验准备，不写成代码文件清单。</t>
  </si>
  <si>
    <t>4.3</t>
  </si>
  <si>
    <t>参数布局、数值化计算与求解框架</t>
  </si>
  <si>
    <t>说明模型参数如何组织、输入如何进入计算过程，以及训练和评价口径的一致性。</t>
  </si>
  <si>
    <t>4.4</t>
  </si>
  <si>
    <t>双层混合粒子群算法设计</t>
  </si>
  <si>
    <t>介绍上下层粒子、搜索过程、目标函数计算和约束处理方式。</t>
  </si>
  <si>
    <t>4.5</t>
  </si>
  <si>
    <t>验证集、滚动回测与基准比较设计</t>
  </si>
  <si>
    <t>说明正式验证、滚动外推、强基准比较、消融和稳健性检验的设计。</t>
  </si>
  <si>
    <t>4.6</t>
  </si>
  <si>
    <t>实验运行与结果复核口径</t>
  </si>
  <si>
    <t>交代实验环境和结果复核原则，篇幅不宜过长。</t>
  </si>
  <si>
    <t>第五章</t>
  </si>
  <si>
    <t>实证结果与分析</t>
  </si>
  <si>
    <t>5.1</t>
  </si>
  <si>
    <t>实验参数与整体运行结果</t>
  </si>
  <si>
    <t>先给出样本划分、关键参数和总体指标，为后续结果解释提供入口。</t>
  </si>
  <si>
    <t>5.2</t>
  </si>
  <si>
    <t>验证集策略表现分析</t>
  </si>
  <si>
    <t>结合采购成本、收益、风险指标和套保误差分析模型在验证集上的表现。</t>
  </si>
  <si>
    <t>5.3</t>
  </si>
  <si>
    <t>周度底仓调整与合约曲线结果分析</t>
  </si>
  <si>
    <t>分析中长期底仓、合约曲线、执行约束和周度收益变化。</t>
  </si>
  <si>
    <t>5.4</t>
  </si>
  <si>
    <t>滚动回测与基准策略比较</t>
  </si>
  <si>
    <t>作为实证章重点，比较模型与强基准、固定持仓、静态策略等结果。</t>
  </si>
  <si>
    <t>5.5</t>
  </si>
  <si>
    <t>消融实验与稳健性检验</t>
  </si>
  <si>
    <t>检验关键机制对结果的影响，并说明不同情景下结论的稳定性。</t>
  </si>
  <si>
    <t>5.6</t>
  </si>
  <si>
    <t>政策约束激活及策略边界解释</t>
  </si>
  <si>
    <t>解释价格联动、辅助服务约束和新能源机制等制度因素如何影响策略空间。</t>
  </si>
  <si>
    <t>5.7</t>
  </si>
  <si>
    <t>小时级现货修正结果及机制解释</t>
  </si>
  <si>
    <t>如实说明小时级修正在当前样本和门控条件下的表现，避免写成显著改善。</t>
  </si>
  <si>
    <t>第六章</t>
  </si>
  <si>
    <t>研究结论与建议</t>
  </si>
  <si>
    <t>6.1</t>
  </si>
  <si>
    <t>研究结论</t>
  </si>
  <si>
    <t>概括模型构建、实证结果和主要发现，不重复第五章表格解释。</t>
  </si>
  <si>
    <t>6.2</t>
  </si>
  <si>
    <t>管理启示与风险控制建议</t>
  </si>
  <si>
    <t>从售电公司交易策略、风险控制和政策适应角度提出建议。</t>
  </si>
  <si>
    <t>6.3</t>
  </si>
  <si>
    <t>研究不足与展望</t>
  </si>
  <si>
    <t>说明样本期、模型假设、市场数据和后续扩展方向。</t>
  </si>
  <si>
    <t>总计</t>
  </si>
  <si>
    <t>总字数按15000字控制，可按学校格式要求在各章之间小幅调剂。</t>
  </si>
  <si>
    <t>章节结构调整说明</t>
  </si>
  <si>
    <t>调整项目</t>
  </si>
  <si>
    <t>调整后的处理</t>
  </si>
  <si>
    <t>写作理由</t>
  </si>
  <si>
    <t>注意事项</t>
  </si>
  <si>
    <t>删除开发迭代表述</t>
  </si>
  <si>
    <t>目录中不再出现项目编号、发布说明、产物索引等标题。</t>
  </si>
  <si>
    <t>学位论文应围绕研究问题、模型和实证结果组织，而不是按照软件开发过程组织。</t>
  </si>
  <si>
    <t>项目实现细节可在正文中转化为“模型求解”和“实验设计”表述。</t>
  </si>
  <si>
    <t>补齐章名</t>
  </si>
  <si>
    <t>每一章均设置明确章名，如“绪论”“理论基础与市场机制分析”“实证结果与分析”。</t>
  </si>
  <si>
    <t>正式目录需要体现章层级和节层级，不能只有小节名。</t>
  </si>
  <si>
    <t>后续写作时建议保持“章名—节名—段落主题”的层级一致。</t>
  </si>
  <si>
    <t>采用中文论文常见结构</t>
  </si>
  <si>
    <t>按“绪论—理论与机制—模型构建—求解与实验—实证分析—结论建议”展开。</t>
  </si>
  <si>
    <t>该结构更接近中文电力市场和管理决策类论文的写法。</t>
  </si>
  <si>
    <t>文献综述放入绪论，制度背景和理论基础单列一章。</t>
  </si>
  <si>
    <t>弱化代码文档痕迹</t>
  </si>
  <si>
    <t>第四章改为“模型求解与实验设计”，不再写成运行链路或文件清单。</t>
  </si>
  <si>
    <t>本科论文可以说明算法和实验流程，但不宜把章节写成项目说明书。</t>
  </si>
  <si>
    <t>涉及实现时，应服务于模型求解和结果可信度说明。</t>
  </si>
  <si>
    <t>突出实证分析</t>
  </si>
  <si>
    <t>第五章增加至4000字，集中展开验证集、滚动回测、基准比较、消融和稳健性。</t>
  </si>
  <si>
    <t>当前项目结果主要通过实证表格支撑结论，应给予足够篇幅解释。</t>
  </si>
  <si>
    <t>不要脱离表格结果写空泛评价。</t>
  </si>
  <si>
    <t>保留现实约束解释</t>
  </si>
  <si>
    <t>政策约束、可行域和小时级现货修正结果均放在实证章解释。</t>
  </si>
  <si>
    <t>这些内容能体现模型与湖南电力市场场景的联系。</t>
  </si>
  <si>
    <t>对于未形成实际交易量的结果，应解释机制原因，不宜回避。</t>
  </si>
  <si>
    <t>控制结论篇幅</t>
  </si>
  <si>
    <t>第六章控制在1100字左右。</t>
  </si>
  <si>
    <t>结论部分应概括核心发现和建议，避免重复第五章结果分析。</t>
  </si>
  <si>
    <t>建议采用自然段，不写成口号式启示。</t>
  </si>
  <si>
    <t>中文文献结构样式参考</t>
  </si>
  <si>
    <t>说明：本表仅用于说明目录结构借鉴的写作习惯，不作为正文参考文献序号。正式正文引用仍应按参考文献信息表编号处理。</t>
  </si>
  <si>
    <t>常见结构</t>
  </si>
  <si>
    <t>在本目录中的对应</t>
  </si>
  <si>
    <t>结构处理方式</t>
  </si>
  <si>
    <t>参考样式来源</t>
  </si>
  <si>
    <t>来源路径</t>
  </si>
  <si>
    <t>引言/绪论</t>
  </si>
  <si>
    <t>第一章 绪论</t>
  </si>
  <si>
    <t>从现实背景进入研究问题，再评述已有研究，最后说明研究内容和技术路线。</t>
  </si>
  <si>
    <t>售电公司购售电业务决策与风险评估；国内外电力现货市场综述类文献</t>
  </si>
  <si>
    <t>参考文献/售电公司购售电业务决策与风险评估_王林炎.pdf</t>
  </si>
  <si>
    <t>业务场景与风险分析</t>
  </si>
  <si>
    <t>第二章 理论基础与市场机制分析</t>
  </si>
  <si>
    <t>先说明售电公司业务、交易机制和风险类型，再讨论政策约束如何进入模型。</t>
  </si>
  <si>
    <t>售电公司购售电业务决策与风险评估</t>
  </si>
  <si>
    <t>模型构建</t>
  </si>
  <si>
    <t>第三章 售电公司多时间尺度购售电决策模型构建</t>
  </si>
  <si>
    <t>将变量、约束、目标函数和评价指标集中放在模型章，减少与实证章交叉。</t>
  </si>
  <si>
    <t>考虑用户需求响应的售电公司购售电决策双层模型；计及风险规避的售电公司平衡市场优化交易策略研究</t>
  </si>
  <si>
    <t>参考文献/考虑用户需求响应的售电公司购售电决策双层模型_任艺.pdf</t>
  </si>
  <si>
    <t>算法求解/算例设计</t>
  </si>
  <si>
    <t>第四章 模型求解与实验设计</t>
  </si>
  <si>
    <t>把数据、样本、算法、基准和检验设计作为实证前的准备。</t>
  </si>
  <si>
    <t>智能优化算法在电力系统应用及售电公司决策类文献</t>
  </si>
  <si>
    <t>参考文献/Del Valle 等 - 2008 - Particle Swarm Optimization Basic Concepts, Variants and Applications in Power Systems.pdf</t>
  </si>
  <si>
    <t>实证结果/算例分析</t>
  </si>
  <si>
    <t>第五章 实证结果与分析</t>
  </si>
  <si>
    <t>按总体现象、主要结果、基准比较、稳健性、机制解释递进展开。</t>
  </si>
  <si>
    <t>售电公司购售电业务决策与风险评估；两级电力市场环境下售电公司购售电策略</t>
  </si>
  <si>
    <t>参考文献/两级电力市场环境下考虑多类型零售套餐的售电公司购售电策略.pdf</t>
  </si>
  <si>
    <t>结论与建议</t>
  </si>
  <si>
    <t>第六章 研究结论与建议</t>
  </si>
  <si>
    <t>概括发现、提出管理启示，并说明不足与后续研究方向。</t>
  </si>
  <si>
    <t>中文电力市场与管理决策类论文常见结尾结构</t>
  </si>
  <si>
    <t>参考文献/</t>
  </si>
  <si>
    <t>论文目录与字数分配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</si>
</sst>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1"/>
      <name val="Carlito"/>
    </font>
    <font>
      <b/>
      <sz val="14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1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b/>
      <sz val="14"/>
      <color rgb="FFFFFFFF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1" fontId="0" fillId="0" borderId="0" xfId="1" applyNumberFormat="1" applyFont="1" applyAlignment="1">
      <alignment wrapText="1"/>
    </xf>
    <xf numFmtId="176" fontId="0" fillId="0" borderId="0" xfId="1" applyNumberFormat="1" applyFont="1" applyAlignment="1">
      <alignment wrapText="1"/>
    </xf>
    <xf numFmtId="0" fontId="4" fillId="5" borderId="0" xfId="1" applyFont="1" applyFill="1" applyAlignment="1">
      <alignment horizontal="center" vertical="center" wrapText="1"/>
    </xf>
    <xf numFmtId="1" fontId="4" fillId="5" borderId="0" xfId="1" applyNumberFormat="1" applyFont="1" applyFill="1" applyAlignment="1">
      <alignment horizontal="center" vertical="center" wrapText="1"/>
    </xf>
    <xf numFmtId="176" fontId="4" fillId="5" borderId="0" xfId="1" applyNumberFormat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left" vertical="center" wrapText="1"/>
    </xf>
    <xf numFmtId="0" fontId="7" fillId="2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rectoryAllocationTable" displayName="DirectoryAllocationTable" ref="A3:H35">
  <tableColumns count="8">
    <tableColumn id="1" xr3:uid="{00000000-0010-0000-0000-000001000000}" name="章序号"/>
    <tableColumn id="2" xr3:uid="{00000000-0010-0000-0000-000002000000}" name="章名"/>
    <tableColumn id="3" xr3:uid="{00000000-0010-0000-0000-000003000000}" name="节序号"/>
    <tableColumn id="4" xr3:uid="{00000000-0010-0000-0000-000004000000}" name="节名"/>
    <tableColumn id="5" xr3:uid="{00000000-0010-0000-0000-000005000000}" name="建议字数"/>
    <tableColumn id="6" xr3:uid="{00000000-0010-0000-0000-000006000000}" name="章合计"/>
    <tableColumn id="7" xr3:uid="{00000000-0010-0000-0000-000007000000}" name="章占比"/>
    <tableColumn id="8" xr3:uid="{00000000-0010-0000-0000-000008000000}" name="写作提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ructureNotesTable" displayName="StructureNotesTable" ref="A3:D10">
  <tableColumns count="4">
    <tableColumn id="1" xr3:uid="{00000000-0010-0000-0100-000001000000}" name="调整项目"/>
    <tableColumn id="2" xr3:uid="{00000000-0010-0000-0100-000002000000}" name="调整后的处理"/>
    <tableColumn id="3" xr3:uid="{00000000-0010-0000-0100-000003000000}" name="写作理由"/>
    <tableColumn id="4" xr3:uid="{00000000-0010-0000-0100-000004000000}" name="注意事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neseStructureReferenceTable" displayName="ChineseStructureReferenceTable" ref="A4:E10">
  <tableColumns count="5">
    <tableColumn id="1" xr3:uid="{00000000-0010-0000-0200-000001000000}" name="常见结构"/>
    <tableColumn id="2" xr3:uid="{00000000-0010-0000-0200-000002000000}" name="在本目录中的对应"/>
    <tableColumn id="3" xr3:uid="{00000000-0010-0000-0200-000003000000}" name="结构处理方式"/>
    <tableColumn id="4" xr3:uid="{00000000-0010-0000-0200-000004000000}" name="参考样式来源"/>
    <tableColumn id="5" xr3:uid="{00000000-0010-0000-0200-000005000000}" name="来源路径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tabSelected="1" workbookViewId="0">
      <selection activeCell="N5" sqref="N5"/>
    </sheetView>
  </sheetViews>
  <sheetFormatPr defaultRowHeight="14.25"/>
  <cols>
    <col min="1" max="1" width="10" customWidth="1"/>
    <col min="2" max="2" width="24" customWidth="1"/>
    <col min="3" max="3" width="10" customWidth="1"/>
    <col min="4" max="4" width="34" customWidth="1"/>
    <col min="5" max="7" width="10" customWidth="1"/>
    <col min="8" max="8" width="48" customWidth="1"/>
  </cols>
  <sheetData>
    <row r="1" spans="1:8" ht="26.1" customHeight="1">
      <c r="A1" s="11" t="s">
        <v>184</v>
      </c>
      <c r="B1" s="9"/>
      <c r="C1" s="9"/>
      <c r="D1" s="9"/>
      <c r="E1" s="9"/>
      <c r="F1" s="9"/>
      <c r="G1" s="9"/>
      <c r="H1" s="9"/>
    </row>
    <row r="3" spans="1:8" ht="24" customHeight="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</row>
    <row r="4" spans="1:8" ht="28.5">
      <c r="A4" s="2" t="s">
        <v>8</v>
      </c>
      <c r="B4" s="2" t="s">
        <v>9</v>
      </c>
      <c r="C4" s="2" t="s">
        <v>10</v>
      </c>
      <c r="D4" s="2" t="s">
        <v>11</v>
      </c>
      <c r="E4" s="3">
        <v>400</v>
      </c>
      <c r="F4" s="3">
        <f t="shared" ref="F4:F34" si="0">IF(A4=A3,"",SUMIF($A$4:$A$34,A4,$E$4:$E$34))</f>
        <v>1600</v>
      </c>
      <c r="G4" s="4">
        <f t="shared" ref="G4:G34" si="1">IF(F4="","",F4/$E$35)</f>
        <v>0.10666666666666667</v>
      </c>
      <c r="H4" s="2" t="s">
        <v>12</v>
      </c>
    </row>
    <row r="5" spans="1:8" ht="28.5">
      <c r="A5" s="2" t="s">
        <v>8</v>
      </c>
      <c r="B5" s="2" t="s">
        <v>9</v>
      </c>
      <c r="C5" s="2" t="s">
        <v>13</v>
      </c>
      <c r="D5" s="2" t="s">
        <v>14</v>
      </c>
      <c r="E5" s="3">
        <v>300</v>
      </c>
      <c r="F5" s="3" t="str">
        <f t="shared" si="0"/>
        <v/>
      </c>
      <c r="G5" s="4" t="str">
        <f t="shared" si="1"/>
        <v/>
      </c>
      <c r="H5" s="2" t="s">
        <v>15</v>
      </c>
    </row>
    <row r="6" spans="1:8" ht="28.5">
      <c r="A6" s="2" t="s">
        <v>8</v>
      </c>
      <c r="B6" s="2" t="s">
        <v>9</v>
      </c>
      <c r="C6" s="2" t="s">
        <v>16</v>
      </c>
      <c r="D6" s="2" t="s">
        <v>17</v>
      </c>
      <c r="E6" s="3">
        <v>650</v>
      </c>
      <c r="F6" s="3" t="str">
        <f t="shared" si="0"/>
        <v/>
      </c>
      <c r="G6" s="4" t="str">
        <f t="shared" si="1"/>
        <v/>
      </c>
      <c r="H6" s="2" t="s">
        <v>18</v>
      </c>
    </row>
    <row r="7" spans="1:8" ht="28.5">
      <c r="A7" s="2" t="s">
        <v>8</v>
      </c>
      <c r="B7" s="2" t="s">
        <v>9</v>
      </c>
      <c r="C7" s="2" t="s">
        <v>19</v>
      </c>
      <c r="D7" s="2" t="s">
        <v>20</v>
      </c>
      <c r="E7" s="3">
        <v>250</v>
      </c>
      <c r="F7" s="3" t="str">
        <f t="shared" si="0"/>
        <v/>
      </c>
      <c r="G7" s="4" t="str">
        <f t="shared" si="1"/>
        <v/>
      </c>
      <c r="H7" s="2" t="s">
        <v>21</v>
      </c>
    </row>
    <row r="8" spans="1:8" ht="28.5">
      <c r="A8" s="2" t="s">
        <v>22</v>
      </c>
      <c r="B8" s="2" t="s">
        <v>23</v>
      </c>
      <c r="C8" s="2" t="s">
        <v>24</v>
      </c>
      <c r="D8" s="2" t="s">
        <v>25</v>
      </c>
      <c r="E8" s="3">
        <v>450</v>
      </c>
      <c r="F8" s="3">
        <f t="shared" si="0"/>
        <v>2400</v>
      </c>
      <c r="G8" s="4">
        <f t="shared" si="1"/>
        <v>0.16</v>
      </c>
      <c r="H8" s="2" t="s">
        <v>26</v>
      </c>
    </row>
    <row r="9" spans="1:8" ht="28.5">
      <c r="A9" s="2" t="s">
        <v>22</v>
      </c>
      <c r="B9" s="2" t="s">
        <v>23</v>
      </c>
      <c r="C9" s="2" t="s">
        <v>27</v>
      </c>
      <c r="D9" s="2" t="s">
        <v>28</v>
      </c>
      <c r="E9" s="3">
        <v>550</v>
      </c>
      <c r="F9" s="3" t="str">
        <f t="shared" si="0"/>
        <v/>
      </c>
      <c r="G9" s="4" t="str">
        <f t="shared" si="1"/>
        <v/>
      </c>
      <c r="H9" s="2" t="s">
        <v>29</v>
      </c>
    </row>
    <row r="10" spans="1:8" ht="28.5">
      <c r="A10" s="2" t="s">
        <v>22</v>
      </c>
      <c r="B10" s="2" t="s">
        <v>23</v>
      </c>
      <c r="C10" s="2" t="s">
        <v>30</v>
      </c>
      <c r="D10" s="2" t="s">
        <v>31</v>
      </c>
      <c r="E10" s="3">
        <v>550</v>
      </c>
      <c r="F10" s="3" t="str">
        <f t="shared" si="0"/>
        <v/>
      </c>
      <c r="G10" s="4" t="str">
        <f t="shared" si="1"/>
        <v/>
      </c>
      <c r="H10" s="2" t="s">
        <v>32</v>
      </c>
    </row>
    <row r="11" spans="1:8" ht="28.5">
      <c r="A11" s="2" t="s">
        <v>22</v>
      </c>
      <c r="B11" s="2" t="s">
        <v>23</v>
      </c>
      <c r="C11" s="2" t="s">
        <v>33</v>
      </c>
      <c r="D11" s="2" t="s">
        <v>34</v>
      </c>
      <c r="E11" s="3">
        <v>450</v>
      </c>
      <c r="F11" s="3" t="str">
        <f t="shared" si="0"/>
        <v/>
      </c>
      <c r="G11" s="4" t="str">
        <f t="shared" si="1"/>
        <v/>
      </c>
      <c r="H11" s="2" t="s">
        <v>35</v>
      </c>
    </row>
    <row r="12" spans="1:8" ht="28.5">
      <c r="A12" s="2" t="s">
        <v>22</v>
      </c>
      <c r="B12" s="2" t="s">
        <v>23</v>
      </c>
      <c r="C12" s="2" t="s">
        <v>36</v>
      </c>
      <c r="D12" s="2" t="s">
        <v>37</v>
      </c>
      <c r="E12" s="3">
        <v>400</v>
      </c>
      <c r="F12" s="3" t="str">
        <f t="shared" si="0"/>
        <v/>
      </c>
      <c r="G12" s="4" t="str">
        <f t="shared" si="1"/>
        <v/>
      </c>
      <c r="H12" s="2" t="s">
        <v>38</v>
      </c>
    </row>
    <row r="13" spans="1:8" ht="28.5">
      <c r="A13" s="2" t="s">
        <v>39</v>
      </c>
      <c r="B13" s="2" t="s">
        <v>40</v>
      </c>
      <c r="C13" s="2" t="s">
        <v>41</v>
      </c>
      <c r="D13" s="2" t="s">
        <v>42</v>
      </c>
      <c r="E13" s="3">
        <v>400</v>
      </c>
      <c r="F13" s="3">
        <f t="shared" si="0"/>
        <v>3300</v>
      </c>
      <c r="G13" s="4">
        <f t="shared" si="1"/>
        <v>0.22</v>
      </c>
      <c r="H13" s="2" t="s">
        <v>43</v>
      </c>
    </row>
    <row r="14" spans="1:8" ht="28.5">
      <c r="A14" s="2" t="s">
        <v>39</v>
      </c>
      <c r="B14" s="2" t="s">
        <v>40</v>
      </c>
      <c r="C14" s="2" t="s">
        <v>44</v>
      </c>
      <c r="D14" s="2" t="s">
        <v>45</v>
      </c>
      <c r="E14" s="3">
        <v>600</v>
      </c>
      <c r="F14" s="3" t="str">
        <f t="shared" si="0"/>
        <v/>
      </c>
      <c r="G14" s="4" t="str">
        <f t="shared" si="1"/>
        <v/>
      </c>
      <c r="H14" s="2" t="s">
        <v>46</v>
      </c>
    </row>
    <row r="15" spans="1:8" ht="28.5">
      <c r="A15" s="2" t="s">
        <v>39</v>
      </c>
      <c r="B15" s="2" t="s">
        <v>40</v>
      </c>
      <c r="C15" s="2" t="s">
        <v>47</v>
      </c>
      <c r="D15" s="2" t="s">
        <v>48</v>
      </c>
      <c r="E15" s="3">
        <v>600</v>
      </c>
      <c r="F15" s="3" t="str">
        <f t="shared" si="0"/>
        <v/>
      </c>
      <c r="G15" s="4" t="str">
        <f t="shared" si="1"/>
        <v/>
      </c>
      <c r="H15" s="2" t="s">
        <v>49</v>
      </c>
    </row>
    <row r="16" spans="1:8" ht="28.5">
      <c r="A16" s="2" t="s">
        <v>39</v>
      </c>
      <c r="B16" s="2" t="s">
        <v>40</v>
      </c>
      <c r="C16" s="2" t="s">
        <v>50</v>
      </c>
      <c r="D16" s="2" t="s">
        <v>51</v>
      </c>
      <c r="E16" s="3">
        <v>600</v>
      </c>
      <c r="F16" s="3" t="str">
        <f t="shared" si="0"/>
        <v/>
      </c>
      <c r="G16" s="4" t="str">
        <f t="shared" si="1"/>
        <v/>
      </c>
      <c r="H16" s="2" t="s">
        <v>52</v>
      </c>
    </row>
    <row r="17" spans="1:8" ht="28.5">
      <c r="A17" s="2" t="s">
        <v>39</v>
      </c>
      <c r="B17" s="2" t="s">
        <v>40</v>
      </c>
      <c r="C17" s="2" t="s">
        <v>53</v>
      </c>
      <c r="D17" s="2" t="s">
        <v>54</v>
      </c>
      <c r="E17" s="3">
        <v>650</v>
      </c>
      <c r="F17" s="3" t="str">
        <f t="shared" si="0"/>
        <v/>
      </c>
      <c r="G17" s="4" t="str">
        <f t="shared" si="1"/>
        <v/>
      </c>
      <c r="H17" s="2" t="s">
        <v>55</v>
      </c>
    </row>
    <row r="18" spans="1:8" ht="28.5">
      <c r="A18" s="2" t="s">
        <v>39</v>
      </c>
      <c r="B18" s="2" t="s">
        <v>40</v>
      </c>
      <c r="C18" s="2" t="s">
        <v>56</v>
      </c>
      <c r="D18" s="2" t="s">
        <v>57</v>
      </c>
      <c r="E18" s="3">
        <v>450</v>
      </c>
      <c r="F18" s="3" t="str">
        <f t="shared" si="0"/>
        <v/>
      </c>
      <c r="G18" s="4" t="str">
        <f t="shared" si="1"/>
        <v/>
      </c>
      <c r="H18" s="2" t="s">
        <v>58</v>
      </c>
    </row>
    <row r="19" spans="1:8" ht="28.5">
      <c r="A19" s="2" t="s">
        <v>59</v>
      </c>
      <c r="B19" s="2" t="s">
        <v>60</v>
      </c>
      <c r="C19" s="2" t="s">
        <v>61</v>
      </c>
      <c r="D19" s="2" t="s">
        <v>62</v>
      </c>
      <c r="E19" s="3">
        <v>500</v>
      </c>
      <c r="F19" s="3">
        <f t="shared" si="0"/>
        <v>2600</v>
      </c>
      <c r="G19" s="4">
        <f t="shared" si="1"/>
        <v>0.17333333333333334</v>
      </c>
      <c r="H19" s="2" t="s">
        <v>63</v>
      </c>
    </row>
    <row r="20" spans="1:8">
      <c r="A20" s="2" t="s">
        <v>59</v>
      </c>
      <c r="B20" s="2" t="s">
        <v>60</v>
      </c>
      <c r="C20" s="2" t="s">
        <v>64</v>
      </c>
      <c r="D20" s="2" t="s">
        <v>65</v>
      </c>
      <c r="E20" s="3">
        <v>450</v>
      </c>
      <c r="F20" s="3" t="str">
        <f t="shared" si="0"/>
        <v/>
      </c>
      <c r="G20" s="4" t="str">
        <f t="shared" si="1"/>
        <v/>
      </c>
      <c r="H20" s="2" t="s">
        <v>66</v>
      </c>
    </row>
    <row r="21" spans="1:8" ht="28.5">
      <c r="A21" s="2" t="s">
        <v>59</v>
      </c>
      <c r="B21" s="2" t="s">
        <v>60</v>
      </c>
      <c r="C21" s="2" t="s">
        <v>67</v>
      </c>
      <c r="D21" s="2" t="s">
        <v>68</v>
      </c>
      <c r="E21" s="3">
        <v>500</v>
      </c>
      <c r="F21" s="3" t="str">
        <f t="shared" si="0"/>
        <v/>
      </c>
      <c r="G21" s="4" t="str">
        <f t="shared" si="1"/>
        <v/>
      </c>
      <c r="H21" s="2" t="s">
        <v>69</v>
      </c>
    </row>
    <row r="22" spans="1:8" ht="28.5">
      <c r="A22" s="2" t="s">
        <v>59</v>
      </c>
      <c r="B22" s="2" t="s">
        <v>60</v>
      </c>
      <c r="C22" s="2" t="s">
        <v>70</v>
      </c>
      <c r="D22" s="2" t="s">
        <v>71</v>
      </c>
      <c r="E22" s="3">
        <v>550</v>
      </c>
      <c r="F22" s="3" t="str">
        <f t="shared" si="0"/>
        <v/>
      </c>
      <c r="G22" s="4" t="str">
        <f t="shared" si="1"/>
        <v/>
      </c>
      <c r="H22" s="2" t="s">
        <v>72</v>
      </c>
    </row>
    <row r="23" spans="1:8" ht="28.5">
      <c r="A23" s="2" t="s">
        <v>59</v>
      </c>
      <c r="B23" s="2" t="s">
        <v>60</v>
      </c>
      <c r="C23" s="2" t="s">
        <v>73</v>
      </c>
      <c r="D23" s="2" t="s">
        <v>74</v>
      </c>
      <c r="E23" s="3">
        <v>400</v>
      </c>
      <c r="F23" s="3" t="str">
        <f t="shared" si="0"/>
        <v/>
      </c>
      <c r="G23" s="4" t="str">
        <f t="shared" si="1"/>
        <v/>
      </c>
      <c r="H23" s="2" t="s">
        <v>75</v>
      </c>
    </row>
    <row r="24" spans="1:8">
      <c r="A24" s="2" t="s">
        <v>59</v>
      </c>
      <c r="B24" s="2" t="s">
        <v>60</v>
      </c>
      <c r="C24" s="2" t="s">
        <v>76</v>
      </c>
      <c r="D24" s="2" t="s">
        <v>77</v>
      </c>
      <c r="E24" s="3">
        <v>200</v>
      </c>
      <c r="F24" s="3" t="str">
        <f t="shared" si="0"/>
        <v/>
      </c>
      <c r="G24" s="4" t="str">
        <f t="shared" si="1"/>
        <v/>
      </c>
      <c r="H24" s="2" t="s">
        <v>78</v>
      </c>
    </row>
    <row r="25" spans="1:8" ht="28.5">
      <c r="A25" s="2" t="s">
        <v>79</v>
      </c>
      <c r="B25" s="2" t="s">
        <v>80</v>
      </c>
      <c r="C25" s="2" t="s">
        <v>81</v>
      </c>
      <c r="D25" s="2" t="s">
        <v>82</v>
      </c>
      <c r="E25" s="3">
        <v>450</v>
      </c>
      <c r="F25" s="3">
        <f t="shared" si="0"/>
        <v>4000</v>
      </c>
      <c r="G25" s="4">
        <f t="shared" si="1"/>
        <v>0.26666666666666666</v>
      </c>
      <c r="H25" s="2" t="s">
        <v>83</v>
      </c>
    </row>
    <row r="26" spans="1:8" ht="28.5">
      <c r="A26" s="2" t="s">
        <v>79</v>
      </c>
      <c r="B26" s="2" t="s">
        <v>80</v>
      </c>
      <c r="C26" s="2" t="s">
        <v>84</v>
      </c>
      <c r="D26" s="2" t="s">
        <v>85</v>
      </c>
      <c r="E26" s="3">
        <v>650</v>
      </c>
      <c r="F26" s="3" t="str">
        <f t="shared" si="0"/>
        <v/>
      </c>
      <c r="G26" s="4" t="str">
        <f t="shared" si="1"/>
        <v/>
      </c>
      <c r="H26" s="2" t="s">
        <v>86</v>
      </c>
    </row>
    <row r="27" spans="1:8">
      <c r="A27" s="2" t="s">
        <v>79</v>
      </c>
      <c r="B27" s="2" t="s">
        <v>80</v>
      </c>
      <c r="C27" s="2" t="s">
        <v>87</v>
      </c>
      <c r="D27" s="2" t="s">
        <v>88</v>
      </c>
      <c r="E27" s="3">
        <v>600</v>
      </c>
      <c r="F27" s="3" t="str">
        <f t="shared" si="0"/>
        <v/>
      </c>
      <c r="G27" s="4" t="str">
        <f t="shared" si="1"/>
        <v/>
      </c>
      <c r="H27" s="2" t="s">
        <v>89</v>
      </c>
    </row>
    <row r="28" spans="1:8" ht="28.5">
      <c r="A28" s="2" t="s">
        <v>79</v>
      </c>
      <c r="B28" s="2" t="s">
        <v>80</v>
      </c>
      <c r="C28" s="2" t="s">
        <v>90</v>
      </c>
      <c r="D28" s="2" t="s">
        <v>91</v>
      </c>
      <c r="E28" s="3">
        <v>850</v>
      </c>
      <c r="F28" s="3" t="str">
        <f t="shared" si="0"/>
        <v/>
      </c>
      <c r="G28" s="4" t="str">
        <f t="shared" si="1"/>
        <v/>
      </c>
      <c r="H28" s="2" t="s">
        <v>92</v>
      </c>
    </row>
    <row r="29" spans="1:8" ht="28.5">
      <c r="A29" s="2" t="s">
        <v>79</v>
      </c>
      <c r="B29" s="2" t="s">
        <v>80</v>
      </c>
      <c r="C29" s="2" t="s">
        <v>93</v>
      </c>
      <c r="D29" s="2" t="s">
        <v>94</v>
      </c>
      <c r="E29" s="3">
        <v>650</v>
      </c>
      <c r="F29" s="3" t="str">
        <f t="shared" si="0"/>
        <v/>
      </c>
      <c r="G29" s="4" t="str">
        <f t="shared" si="1"/>
        <v/>
      </c>
      <c r="H29" s="2" t="s">
        <v>95</v>
      </c>
    </row>
    <row r="30" spans="1:8" ht="28.5">
      <c r="A30" s="2" t="s">
        <v>79</v>
      </c>
      <c r="B30" s="2" t="s">
        <v>80</v>
      </c>
      <c r="C30" s="2" t="s">
        <v>96</v>
      </c>
      <c r="D30" s="2" t="s">
        <v>97</v>
      </c>
      <c r="E30" s="3">
        <v>500</v>
      </c>
      <c r="F30" s="3" t="str">
        <f t="shared" si="0"/>
        <v/>
      </c>
      <c r="G30" s="4" t="str">
        <f t="shared" si="1"/>
        <v/>
      </c>
      <c r="H30" s="2" t="s">
        <v>98</v>
      </c>
    </row>
    <row r="31" spans="1:8" ht="28.5">
      <c r="A31" s="2" t="s">
        <v>79</v>
      </c>
      <c r="B31" s="2" t="s">
        <v>80</v>
      </c>
      <c r="C31" s="2" t="s">
        <v>99</v>
      </c>
      <c r="D31" s="2" t="s">
        <v>100</v>
      </c>
      <c r="E31" s="3">
        <v>300</v>
      </c>
      <c r="F31" s="3" t="str">
        <f t="shared" si="0"/>
        <v/>
      </c>
      <c r="G31" s="4" t="str">
        <f t="shared" si="1"/>
        <v/>
      </c>
      <c r="H31" s="2" t="s">
        <v>101</v>
      </c>
    </row>
    <row r="32" spans="1:8" ht="28.5">
      <c r="A32" s="2" t="s">
        <v>102</v>
      </c>
      <c r="B32" s="2" t="s">
        <v>103</v>
      </c>
      <c r="C32" s="2" t="s">
        <v>104</v>
      </c>
      <c r="D32" s="2" t="s">
        <v>105</v>
      </c>
      <c r="E32" s="3">
        <v>500</v>
      </c>
      <c r="F32" s="3">
        <f t="shared" si="0"/>
        <v>1100</v>
      </c>
      <c r="G32" s="4">
        <f t="shared" si="1"/>
        <v>7.3333333333333334E-2</v>
      </c>
      <c r="H32" s="2" t="s">
        <v>106</v>
      </c>
    </row>
    <row r="33" spans="1:8" ht="28.5">
      <c r="A33" s="2" t="s">
        <v>102</v>
      </c>
      <c r="B33" s="2" t="s">
        <v>103</v>
      </c>
      <c r="C33" s="2" t="s">
        <v>107</v>
      </c>
      <c r="D33" s="2" t="s">
        <v>108</v>
      </c>
      <c r="E33" s="3">
        <v>350</v>
      </c>
      <c r="F33" s="3" t="str">
        <f t="shared" si="0"/>
        <v/>
      </c>
      <c r="G33" s="4" t="str">
        <f t="shared" si="1"/>
        <v/>
      </c>
      <c r="H33" s="2" t="s">
        <v>109</v>
      </c>
    </row>
    <row r="34" spans="1:8">
      <c r="A34" s="2" t="s">
        <v>102</v>
      </c>
      <c r="B34" s="2" t="s">
        <v>103</v>
      </c>
      <c r="C34" s="2" t="s">
        <v>110</v>
      </c>
      <c r="D34" s="2" t="s">
        <v>111</v>
      </c>
      <c r="E34" s="3">
        <v>250</v>
      </c>
      <c r="F34" s="3" t="str">
        <f t="shared" si="0"/>
        <v/>
      </c>
      <c r="G34" s="4" t="str">
        <f t="shared" si="1"/>
        <v/>
      </c>
      <c r="H34" s="2" t="s">
        <v>112</v>
      </c>
    </row>
    <row r="35" spans="1:8" ht="30">
      <c r="A35" s="5" t="s">
        <v>113</v>
      </c>
      <c r="B35" s="5"/>
      <c r="C35" s="5"/>
      <c r="D35" s="5"/>
      <c r="E35" s="6">
        <f>SUM(E4:E34)</f>
        <v>15000</v>
      </c>
      <c r="F35" s="6">
        <f>SUM(F4:F34)</f>
        <v>15000</v>
      </c>
      <c r="G35" s="7">
        <f>F35/E35</f>
        <v>1</v>
      </c>
      <c r="H35" s="8" t="s">
        <v>114</v>
      </c>
    </row>
  </sheetData>
  <mergeCells count="1">
    <mergeCell ref="A1:H1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25"/>
  <cols>
    <col min="1" max="1" width="18" customWidth="1"/>
    <col min="2" max="2" width="36" customWidth="1"/>
    <col min="3" max="3" width="40" customWidth="1"/>
    <col min="4" max="4" width="42" customWidth="1"/>
  </cols>
  <sheetData>
    <row r="1" spans="1:4" ht="26.1" customHeight="1">
      <c r="A1" s="9" t="s">
        <v>115</v>
      </c>
      <c r="B1" s="9"/>
      <c r="C1" s="9"/>
      <c r="D1" s="9"/>
    </row>
    <row r="3" spans="1:4" ht="15">
      <c r="A3" s="1" t="s">
        <v>116</v>
      </c>
      <c r="B3" s="1" t="s">
        <v>117</v>
      </c>
      <c r="C3" s="1" t="s">
        <v>118</v>
      </c>
      <c r="D3" s="1" t="s">
        <v>119</v>
      </c>
    </row>
    <row r="4" spans="1:4" ht="28.5">
      <c r="A4" s="2" t="s">
        <v>120</v>
      </c>
      <c r="B4" s="2" t="s">
        <v>121</v>
      </c>
      <c r="C4" s="2" t="s">
        <v>122</v>
      </c>
      <c r="D4" s="2" t="s">
        <v>123</v>
      </c>
    </row>
    <row r="5" spans="1:4" ht="28.5">
      <c r="A5" s="2" t="s">
        <v>124</v>
      </c>
      <c r="B5" s="2" t="s">
        <v>125</v>
      </c>
      <c r="C5" s="2" t="s">
        <v>126</v>
      </c>
      <c r="D5" s="2" t="s">
        <v>127</v>
      </c>
    </row>
    <row r="6" spans="1:4" ht="28.5">
      <c r="A6" s="2" t="s">
        <v>128</v>
      </c>
      <c r="B6" s="2" t="s">
        <v>129</v>
      </c>
      <c r="C6" s="2" t="s">
        <v>130</v>
      </c>
      <c r="D6" s="2" t="s">
        <v>131</v>
      </c>
    </row>
    <row r="7" spans="1:4" ht="28.5">
      <c r="A7" s="2" t="s">
        <v>132</v>
      </c>
      <c r="B7" s="2" t="s">
        <v>133</v>
      </c>
      <c r="C7" s="2" t="s">
        <v>134</v>
      </c>
      <c r="D7" s="2" t="s">
        <v>135</v>
      </c>
    </row>
    <row r="8" spans="1:4" ht="28.5">
      <c r="A8" s="2" t="s">
        <v>136</v>
      </c>
      <c r="B8" s="2" t="s">
        <v>137</v>
      </c>
      <c r="C8" s="2" t="s">
        <v>138</v>
      </c>
      <c r="D8" s="2" t="s">
        <v>139</v>
      </c>
    </row>
    <row r="9" spans="1:4" ht="28.5">
      <c r="A9" s="2" t="s">
        <v>140</v>
      </c>
      <c r="B9" s="2" t="s">
        <v>141</v>
      </c>
      <c r="C9" s="2" t="s">
        <v>142</v>
      </c>
      <c r="D9" s="2" t="s">
        <v>143</v>
      </c>
    </row>
    <row r="10" spans="1:4" ht="28.5">
      <c r="A10" s="2" t="s">
        <v>144</v>
      </c>
      <c r="B10" s="2" t="s">
        <v>145</v>
      </c>
      <c r="C10" s="2" t="s">
        <v>146</v>
      </c>
      <c r="D10" s="2" t="s">
        <v>147</v>
      </c>
    </row>
  </sheetData>
  <mergeCells count="1">
    <mergeCell ref="A1:D1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cols>
    <col min="1" max="1" width="22" customWidth="1"/>
    <col min="2" max="2" width="34" customWidth="1"/>
    <col min="3" max="3" width="46" customWidth="1"/>
    <col min="4" max="4" width="42" customWidth="1"/>
    <col min="5" max="5" width="52" customWidth="1"/>
  </cols>
  <sheetData>
    <row r="1" spans="1:5" ht="26.1" customHeight="1">
      <c r="A1" s="9" t="s">
        <v>148</v>
      </c>
      <c r="B1" s="9"/>
      <c r="C1" s="9"/>
      <c r="D1" s="9"/>
      <c r="E1" s="9"/>
    </row>
    <row r="2" spans="1:5" ht="33.950000000000003" customHeight="1">
      <c r="A2" s="10" t="s">
        <v>149</v>
      </c>
      <c r="B2" s="10"/>
      <c r="C2" s="10"/>
      <c r="D2" s="10"/>
      <c r="E2" s="10"/>
    </row>
    <row r="4" spans="1:5" ht="15">
      <c r="A4" s="1" t="s">
        <v>150</v>
      </c>
      <c r="B4" s="1" t="s">
        <v>151</v>
      </c>
      <c r="C4" s="1" t="s">
        <v>152</v>
      </c>
      <c r="D4" s="1" t="s">
        <v>153</v>
      </c>
      <c r="E4" s="1" t="s">
        <v>154</v>
      </c>
    </row>
    <row r="5" spans="1:5" ht="28.5">
      <c r="A5" s="2" t="s">
        <v>155</v>
      </c>
      <c r="B5" s="2" t="s">
        <v>156</v>
      </c>
      <c r="C5" s="2" t="s">
        <v>157</v>
      </c>
      <c r="D5" s="2" t="s">
        <v>158</v>
      </c>
      <c r="E5" s="2" t="s">
        <v>159</v>
      </c>
    </row>
    <row r="6" spans="1:5" ht="28.5">
      <c r="A6" s="2" t="s">
        <v>160</v>
      </c>
      <c r="B6" s="2" t="s">
        <v>161</v>
      </c>
      <c r="C6" s="2" t="s">
        <v>162</v>
      </c>
      <c r="D6" s="2" t="s">
        <v>163</v>
      </c>
      <c r="E6" s="2" t="s">
        <v>159</v>
      </c>
    </row>
    <row r="7" spans="1:5" ht="42.75">
      <c r="A7" s="2" t="s">
        <v>164</v>
      </c>
      <c r="B7" s="2" t="s">
        <v>165</v>
      </c>
      <c r="C7" s="2" t="s">
        <v>166</v>
      </c>
      <c r="D7" s="2" t="s">
        <v>167</v>
      </c>
      <c r="E7" s="2" t="s">
        <v>168</v>
      </c>
    </row>
    <row r="8" spans="1:5" ht="42.75">
      <c r="A8" s="2" t="s">
        <v>169</v>
      </c>
      <c r="B8" s="2" t="s">
        <v>170</v>
      </c>
      <c r="C8" s="2" t="s">
        <v>171</v>
      </c>
      <c r="D8" s="2" t="s">
        <v>172</v>
      </c>
      <c r="E8" s="2" t="s">
        <v>173</v>
      </c>
    </row>
    <row r="9" spans="1:5" ht="28.5">
      <c r="A9" s="2" t="s">
        <v>174</v>
      </c>
      <c r="B9" s="2" t="s">
        <v>175</v>
      </c>
      <c r="C9" s="2" t="s">
        <v>176</v>
      </c>
      <c r="D9" s="2" t="s">
        <v>177</v>
      </c>
      <c r="E9" s="2" t="s">
        <v>178</v>
      </c>
    </row>
    <row r="10" spans="1:5" ht="28.5">
      <c r="A10" s="2" t="s">
        <v>179</v>
      </c>
      <c r="B10" s="2" t="s">
        <v>180</v>
      </c>
      <c r="C10" s="2" t="s">
        <v>181</v>
      </c>
      <c r="D10" s="2" t="s">
        <v>182</v>
      </c>
      <c r="E10" s="2" t="s">
        <v>183</v>
      </c>
    </row>
  </sheetData>
  <mergeCells count="2">
    <mergeCell ref="A1:E1"/>
    <mergeCell ref="A2:E2"/>
  </mergeCells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目录字数分配</vt:lpstr>
      <vt:lpstr>章节结构说明</vt:lpstr>
      <vt:lpstr>中文文献结构参考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Xuanzhe Du</cp:lastModifiedBy>
  <dcterms:modified xsi:type="dcterms:W3CDTF">2026-05-12T16:05:19Z</dcterms:modified>
</cp:coreProperties>
</file>